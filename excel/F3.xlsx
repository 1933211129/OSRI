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externalReferences>
    <externalReference r:id="rId2"/>
  </externalReferences>
  <definedNames>
    <definedName name="_xlchart.v1.10" hidden="1">'[1]Fig. 7'!$Q$1</definedName>
    <definedName name="_xlchart.v1.5" hidden="1">'[1]Fig. 7'!$N$2:$N$30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<sst xmlns="http://schemas.openxmlformats.org/spreadsheetml/2006/main" count="10" uniqueCount="10">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</sst>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iaokong/Library/Containers/com.tencent.xinWeChat/Data/Documents/xwechat_files/wxid_e0erez0j9yre22_7560/msg/file/2025-10/OSRI&#23436;&#25972;&#35745;&#31639;-&#26631;&#27880;&#38656;&#35201;&#20462;&#25913;&#30340;&#25968;&#25454;-&#26356;&#26032;2024&#25968;&#25454;_V2.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计算结果"/>
      <sheetName val="_P_open_t 更新OA发文量"/>
      <sheetName val="_Fig.5撤稿率比值-过程-更新撤稿量据"/>
      <sheetName val="_Fig.5撤稿率比值-结果-从过程更新数据"/>
      <sheetName val="Fig.4(b)_TOP1%被引作者数量 更新前1%作者"/>
      <sheetName val="Fig.4(a)_FWCI 更新FWCI"/>
      <sheetName val="Fig3 S_output 需更新学术发文总量"/>
      <sheetName val="Fig2(d) P_incl 需更新合作发文总量"/>
      <sheetName val="Fig 2(b)_P_open_t-需更新OA发文量"/>
      <sheetName val="_A_DATA 需更新世界OA发文量"/>
      <sheetName val="_fig1_a"/>
      <sheetName val="_fig1_b"/>
      <sheetName val="_fig1_c"/>
      <sheetName val="Fig.2(a)_r_open_t new-无需更新"/>
      <sheetName val="Fig2(C) r_incl 无需更新"/>
      <sheetName val="_fig6"/>
      <sheetName val="Fig. 7"/>
      <sheetName val="_R_OA_t_avg 无需更新"/>
      <sheetName val="_R_OA_max_t1 无需更新"/>
      <sheetName val="_R_OA_t 无需更新"/>
      <sheetName val="_R_OD_t_avg 无需更新"/>
      <sheetName val="_R_OD_max_t1 无需更新"/>
      <sheetName val="_R_OD_t 无需更新"/>
      <sheetName val="_R_OP_t_avg 无需更新"/>
      <sheetName val="_R_OP_max_t1 无需更新"/>
      <sheetName val="_R_OP_t 无需更新"/>
      <sheetName val="_r_open_t 无需更新"/>
      <sheetName val="_r_open_t1_avg 无需更新"/>
      <sheetName val="_P_open_t1_avg 无需更新"/>
      <sheetName val="Sheet8"/>
      <sheetName val="_R_open 无需更新"/>
      <sheetName val="_r_open_ba 无需更新"/>
      <sheetName val="_r_incl_ba 无需更新"/>
      <sheetName val="r_open_t_nor"/>
      <sheetName val="_r_incl_t1_avg 无需更新"/>
      <sheetName val="_P_incl_t1_avg 无需更新"/>
      <sheetName val="_R_incl 无需更新"/>
      <sheetName val="_S_OD_t 无需更新"/>
      <sheetName val="_S_OD_t1_avg 无需更新"/>
      <sheetName val="_f1 无需更新"/>
      <sheetName val="_f2 无需更新"/>
      <sheetName val="_f3 无需更新"/>
      <sheetName val="_Au_top1 无需更新"/>
      <sheetName val="_Au_top1_avg 无需更新"/>
      <sheetName val="_FAIR 无需更新"/>
      <sheetName val="_A_OD_t 无需更新"/>
      <sheetName val="_A_OD_t1_avg 无需更新"/>
      <sheetName val="_α_L 无需更新"/>
      <sheetName val="_α_I 无需更新"/>
      <sheetName val="_α_F 无需更新"/>
      <sheetName val="_delta_B 无需更新"/>
      <sheetName val="_delta_P 无需更新"/>
      <sheetName val="_S_OD_avg 无需更新"/>
      <sheetName val="_A_OD_avg 无需更新"/>
      <sheetName val="临时计算用"/>
      <sheetName val="饼图数据 (2)"/>
      <sheetName val="Sheet3"/>
    </sheetNames>
    <sheetDataSet>
      <sheetData sheetId="0"/>
      <sheetData sheetId="1"/>
      <sheetData sheetId="2"/>
      <sheetData sheetId="3">
        <row r="2">
          <cell r="B2">
            <v>1</v>
          </cell>
          <cell r="C2">
            <v>1.2</v>
          </cell>
          <cell r="D2">
            <v>1</v>
          </cell>
          <cell r="E2">
            <v>0.309807456714887</v>
          </cell>
          <cell r="F2">
            <v>0.604639923884508</v>
          </cell>
          <cell r="G2">
            <v>0.327595200998764</v>
          </cell>
          <cell r="H2">
            <v>1.2</v>
          </cell>
          <cell r="I2">
            <v>5.22352633208404</v>
          </cell>
          <cell r="J2">
            <v>0.966742501687919</v>
          </cell>
        </row>
        <row r="3">
          <cell r="B3">
            <v>1</v>
          </cell>
          <cell r="C3">
            <v>1.19080177384756</v>
          </cell>
          <cell r="D3">
            <v>1</v>
          </cell>
          <cell r="E3">
            <v>0.496262614003878</v>
          </cell>
          <cell r="F3">
            <v>1.44856481694077</v>
          </cell>
          <cell r="G3">
            <v>0.3185793147333</v>
          </cell>
          <cell r="H3">
            <v>1.2</v>
          </cell>
          <cell r="I3">
            <v>1.255945406955</v>
          </cell>
          <cell r="J3">
            <v>1.12139062444845</v>
          </cell>
        </row>
        <row r="4">
          <cell r="B4">
            <v>1</v>
          </cell>
          <cell r="C4">
            <v>3.52095493765493</v>
          </cell>
          <cell r="D4">
            <v>1</v>
          </cell>
          <cell r="E4">
            <v>1.17406047927687</v>
          </cell>
          <cell r="F4">
            <v>1.86607913395325</v>
          </cell>
          <cell r="G4">
            <v>0.197929208025053</v>
          </cell>
          <cell r="H4">
            <v>1.2</v>
          </cell>
          <cell r="I4">
            <v>0.814150816614341</v>
          </cell>
          <cell r="J4">
            <v>1.13298425458993</v>
          </cell>
        </row>
        <row r="5">
          <cell r="B5">
            <v>1</v>
          </cell>
          <cell r="C5">
            <v>1.58292930967066</v>
          </cell>
          <cell r="D5">
            <v>1</v>
          </cell>
          <cell r="E5">
            <v>0.661244749952818</v>
          </cell>
          <cell r="F5">
            <v>0.872039417047358</v>
          </cell>
          <cell r="G5">
            <v>0.252299508179239</v>
          </cell>
          <cell r="H5">
            <v>1.2</v>
          </cell>
          <cell r="I5">
            <v>0.715625538050098</v>
          </cell>
          <cell r="J5">
            <v>1.21149974978156</v>
          </cell>
        </row>
        <row r="6">
          <cell r="B6">
            <v>1</v>
          </cell>
          <cell r="C6">
            <v>1.1416543181239</v>
          </cell>
          <cell r="D6">
            <v>1</v>
          </cell>
          <cell r="E6">
            <v>0.486717304594167</v>
          </cell>
          <cell r="F6">
            <v>0.818734519810827</v>
          </cell>
          <cell r="G6">
            <v>0.5581743792282</v>
          </cell>
          <cell r="H6">
            <v>1.2</v>
          </cell>
          <cell r="I6">
            <v>0.608192045280298</v>
          </cell>
          <cell r="J6">
            <v>0.889358356260396</v>
          </cell>
        </row>
        <row r="7">
          <cell r="B7">
            <v>1</v>
          </cell>
          <cell r="C7">
            <v>2.10422142659571</v>
          </cell>
          <cell r="D7">
            <v>1</v>
          </cell>
          <cell r="E7">
            <v>0.691804411279673</v>
          </cell>
          <cell r="F7">
            <v>0.697487535979734</v>
          </cell>
          <cell r="G7">
            <v>0.408172381300889</v>
          </cell>
          <cell r="H7">
            <v>5.80304091361134</v>
          </cell>
          <cell r="I7">
            <v>0.476771602672204</v>
          </cell>
          <cell r="J7">
            <v>0.752656209228424</v>
          </cell>
        </row>
        <row r="8">
          <cell r="B8">
            <v>1</v>
          </cell>
          <cell r="C8">
            <v>0.926396836496792</v>
          </cell>
          <cell r="D8">
            <v>1</v>
          </cell>
          <cell r="E8">
            <v>0.631737069748205</v>
          </cell>
          <cell r="F8">
            <v>1.08600746544113</v>
          </cell>
          <cell r="G8">
            <v>0.383875183039252</v>
          </cell>
          <cell r="H8">
            <v>1.2</v>
          </cell>
          <cell r="I8">
            <v>0.405521114158565</v>
          </cell>
          <cell r="J8">
            <v>0.84355595318853</v>
          </cell>
        </row>
        <row r="9">
          <cell r="B9">
            <v>1</v>
          </cell>
          <cell r="C9">
            <v>1.21643179545826</v>
          </cell>
          <cell r="D9">
            <v>1</v>
          </cell>
          <cell r="E9">
            <v>0.631565203137476</v>
          </cell>
          <cell r="F9">
            <v>0.454086583421827</v>
          </cell>
          <cell r="G9">
            <v>0.56046062879134</v>
          </cell>
          <cell r="H9">
            <v>1.2</v>
          </cell>
          <cell r="I9">
            <v>0.554648540699477</v>
          </cell>
          <cell r="J9">
            <v>0.845882111690927</v>
          </cell>
        </row>
        <row r="10">
          <cell r="B10">
            <v>1</v>
          </cell>
          <cell r="C10">
            <v>1.09319091613709</v>
          </cell>
          <cell r="D10">
            <v>1</v>
          </cell>
          <cell r="E10">
            <v>0.731078953805283</v>
          </cell>
          <cell r="F10">
            <v>0.728376897369099</v>
          </cell>
          <cell r="G10">
            <v>0.506088216101111</v>
          </cell>
          <cell r="H10">
            <v>1.2</v>
          </cell>
          <cell r="I10">
            <v>0.609129113808086</v>
          </cell>
          <cell r="J10">
            <v>0.844674869149878</v>
          </cell>
        </row>
        <row r="11">
          <cell r="B11">
            <v>1</v>
          </cell>
          <cell r="C11">
            <v>1.06941385465957</v>
          </cell>
          <cell r="D11">
            <v>1</v>
          </cell>
          <cell r="E11">
            <v>1.29894062651622</v>
          </cell>
          <cell r="F11">
            <v>0.590349602342453</v>
          </cell>
          <cell r="G11">
            <v>0.522686635306039</v>
          </cell>
          <cell r="H11">
            <v>4.84364278537946</v>
          </cell>
          <cell r="I11">
            <v>0.587669183265677</v>
          </cell>
          <cell r="J11">
            <v>0.82915055221995</v>
          </cell>
        </row>
        <row r="12">
          <cell r="B12">
            <v>1</v>
          </cell>
          <cell r="C12">
            <v>0.698115001136526</v>
          </cell>
          <cell r="D12">
            <v>1</v>
          </cell>
          <cell r="E12">
            <v>1.27211276702028</v>
          </cell>
          <cell r="F12">
            <v>0.341783040227103</v>
          </cell>
          <cell r="G12">
            <v>0.724247259613673</v>
          </cell>
          <cell r="H12">
            <v>5.01374869328667</v>
          </cell>
          <cell r="I12">
            <v>0.90222967714055</v>
          </cell>
          <cell r="J12">
            <v>0.809203424989803</v>
          </cell>
        </row>
        <row r="13">
          <cell r="B13">
            <v>1</v>
          </cell>
          <cell r="C13">
            <v>0.334141252377657</v>
          </cell>
          <cell r="D13">
            <v>1</v>
          </cell>
          <cell r="E13">
            <v>1.6897511841517</v>
          </cell>
          <cell r="F13">
            <v>0.394725101247727</v>
          </cell>
          <cell r="G13">
            <v>0.732977609002832</v>
          </cell>
          <cell r="H13">
            <v>1.2</v>
          </cell>
          <cell r="I13">
            <v>1.24830628705827</v>
          </cell>
          <cell r="J13">
            <v>1.12753584266566</v>
          </cell>
        </row>
        <row r="14">
          <cell r="B14">
            <v>1</v>
          </cell>
          <cell r="C14">
            <v>0.496088886801482</v>
          </cell>
          <cell r="D14">
            <v>1</v>
          </cell>
          <cell r="E14">
            <v>1.15669751061665</v>
          </cell>
          <cell r="F14">
            <v>0.54977907336851</v>
          </cell>
          <cell r="G14">
            <v>0.857632022327669</v>
          </cell>
          <cell r="H14">
            <v>4.16559861785079</v>
          </cell>
          <cell r="I14">
            <v>0.891539249957169</v>
          </cell>
          <cell r="J14">
            <v>0.966384720629885</v>
          </cell>
        </row>
        <row r="15">
          <cell r="B15">
            <v>1</v>
          </cell>
          <cell r="C15">
            <v>0.243626923538479</v>
          </cell>
          <cell r="D15">
            <v>1</v>
          </cell>
          <cell r="E15">
            <v>1.62867634293345</v>
          </cell>
          <cell r="F15">
            <v>0.677128223757319</v>
          </cell>
          <cell r="G15">
            <v>1.47037164213262</v>
          </cell>
          <cell r="H15">
            <v>5.29076156917458</v>
          </cell>
          <cell r="I15">
            <v>1.37772342152825</v>
          </cell>
          <cell r="J15">
            <v>1.91932503493139</v>
          </cell>
        </row>
        <row r="16">
          <cell r="B16">
            <v>1</v>
          </cell>
          <cell r="C16">
            <v>0.175656378764397</v>
          </cell>
          <cell r="D16">
            <v>1</v>
          </cell>
          <cell r="E16">
            <v>5.70007885707818</v>
          </cell>
          <cell r="F16">
            <v>1.6234531471199</v>
          </cell>
          <cell r="G16">
            <v>3.76912757310235</v>
          </cell>
          <cell r="H16">
            <v>21.1671638469915</v>
          </cell>
          <cell r="I16">
            <v>5.21626343228408</v>
          </cell>
          <cell r="J16">
            <v>5.23010081367717</v>
          </cell>
        </row>
        <row r="17">
          <cell r="B17">
            <v>1</v>
          </cell>
          <cell r="C17">
            <v>0.186794934674455</v>
          </cell>
          <cell r="D17">
            <v>1</v>
          </cell>
          <cell r="E17">
            <v>6.70715704806464</v>
          </cell>
          <cell r="F17">
            <v>1.76293807857983</v>
          </cell>
          <cell r="G17">
            <v>3.86574546066682</v>
          </cell>
          <cell r="H17">
            <v>9.46127900427049</v>
          </cell>
          <cell r="I17">
            <v>5.17355984537003</v>
          </cell>
          <cell r="J17">
            <v>4.45548451046721</v>
          </cell>
        </row>
        <row r="18">
          <cell r="B18">
            <v>1</v>
          </cell>
          <cell r="C18">
            <v>0.821138975881638</v>
          </cell>
          <cell r="D18">
            <v>1</v>
          </cell>
          <cell r="E18">
            <v>1.70864014593689</v>
          </cell>
          <cell r="F18">
            <v>0.387564229645054</v>
          </cell>
          <cell r="G18">
            <v>1.16649700489312</v>
          </cell>
          <cell r="H18">
            <v>10.4234762271984</v>
          </cell>
          <cell r="I18">
            <v>1.66611534598216</v>
          </cell>
          <cell r="J18">
            <v>1.14991011435704</v>
          </cell>
        </row>
        <row r="19">
          <cell r="B19">
            <v>1</v>
          </cell>
          <cell r="C19">
            <v>0.378046510648053</v>
          </cell>
          <cell r="D19">
            <v>1</v>
          </cell>
          <cell r="E19">
            <v>2.47805678624994</v>
          </cell>
          <cell r="F19">
            <v>0.456613971876957</v>
          </cell>
          <cell r="G19">
            <v>1.65328092586527</v>
          </cell>
          <cell r="H19">
            <v>7.79450480114469</v>
          </cell>
          <cell r="I19">
            <v>2.73626428337467</v>
          </cell>
          <cell r="J19">
            <v>1.66377258643013</v>
          </cell>
        </row>
        <row r="20">
          <cell r="B20">
            <v>1</v>
          </cell>
          <cell r="C20">
            <v>0.453324970899675</v>
          </cell>
          <cell r="D20">
            <v>1</v>
          </cell>
          <cell r="E20">
            <v>2.38035111752431</v>
          </cell>
          <cell r="F20">
            <v>0.490100733505413</v>
          </cell>
          <cell r="G20">
            <v>1.31350620281637</v>
          </cell>
          <cell r="H20">
            <v>1.09600224848078</v>
          </cell>
          <cell r="I20">
            <v>2.00585978600221</v>
          </cell>
          <cell r="J20">
            <v>1.40940608877376</v>
          </cell>
        </row>
        <row r="21">
          <cell r="B21">
            <v>1</v>
          </cell>
          <cell r="C21">
            <v>0.631375295364806</v>
          </cell>
          <cell r="D21">
            <v>1</v>
          </cell>
          <cell r="E21">
            <v>2.83644977831573</v>
          </cell>
          <cell r="F21">
            <v>0.968828334048145</v>
          </cell>
          <cell r="G21">
            <v>2.51777935759283</v>
          </cell>
          <cell r="H21">
            <v>0.0683388276855365</v>
          </cell>
          <cell r="I21">
            <v>3.28989900384679</v>
          </cell>
          <cell r="J21">
            <v>2.60687133827738</v>
          </cell>
        </row>
        <row r="22">
          <cell r="B22">
            <v>1</v>
          </cell>
          <cell r="C22">
            <v>0.755453461117703</v>
          </cell>
          <cell r="D22">
            <v>1</v>
          </cell>
          <cell r="E22">
            <v>4.0627195567326</v>
          </cell>
          <cell r="F22">
            <v>1.05556928608275</v>
          </cell>
          <cell r="G22">
            <v>1.31981774674665</v>
          </cell>
          <cell r="H22">
            <v>0.0786734735299028</v>
          </cell>
          <cell r="I22">
            <v>3.65207124163048</v>
          </cell>
          <cell r="J22">
            <v>2.05667183245133</v>
          </cell>
        </row>
        <row r="23">
          <cell r="B23">
            <v>1</v>
          </cell>
          <cell r="C23">
            <v>0.496968196995857</v>
          </cell>
          <cell r="D23">
            <v>1</v>
          </cell>
          <cell r="E23">
            <v>2.10343019920011</v>
          </cell>
          <cell r="F23">
            <v>0.851243840644405</v>
          </cell>
          <cell r="G23">
            <v>0.886173421290749</v>
          </cell>
          <cell r="H23">
            <v>0.159083694136512</v>
          </cell>
          <cell r="I23">
            <v>2.22220632766825</v>
          </cell>
          <cell r="J23">
            <v>1.89450397713362</v>
          </cell>
        </row>
        <row r="24">
          <cell r="B24">
            <v>1</v>
          </cell>
          <cell r="C24">
            <v>0.538221909469885</v>
          </cell>
          <cell r="D24">
            <v>1</v>
          </cell>
          <cell r="E24">
            <v>3.76790709743617</v>
          </cell>
          <cell r="F24">
            <v>0.951986960897982</v>
          </cell>
          <cell r="G24">
            <v>1.31787655918062</v>
          </cell>
          <cell r="H24">
            <v>0.281178452875478</v>
          </cell>
          <cell r="I24">
            <v>2.7832170137563</v>
          </cell>
          <cell r="J24">
            <v>2.28393366570596</v>
          </cell>
        </row>
        <row r="25">
          <cell r="B25">
            <v>1</v>
          </cell>
          <cell r="C25">
            <v>0.404561102616762</v>
          </cell>
          <cell r="D25">
            <v>1</v>
          </cell>
          <cell r="E25">
            <v>2.86977626868946</v>
          </cell>
          <cell r="F25">
            <v>1.17645353371734</v>
          </cell>
          <cell r="G25">
            <v>1.30351737793132</v>
          </cell>
          <cell r="H25">
            <v>0.296461002742317</v>
          </cell>
          <cell r="I25">
            <v>2.34276089045978</v>
          </cell>
          <cell r="J25">
            <v>1.78981900855543</v>
          </cell>
        </row>
        <row r="26">
          <cell r="B26">
            <v>1</v>
          </cell>
          <cell r="C26">
            <v>0.472832956165065</v>
          </cell>
          <cell r="D26">
            <v>1</v>
          </cell>
          <cell r="E26">
            <v>3.49725370858343</v>
          </cell>
          <cell r="F26">
            <v>1.02792061552627</v>
          </cell>
          <cell r="G26">
            <v>2.5183486700079</v>
          </cell>
          <cell r="H26">
            <v>0.321189379176183</v>
          </cell>
          <cell r="I26">
            <v>2.04454414245611</v>
          </cell>
          <cell r="J26">
            <v>1.61731454228927</v>
          </cell>
        </row>
        <row r="27">
          <cell r="B27">
            <v>1</v>
          </cell>
          <cell r="C27">
            <v>0.436105888068531</v>
          </cell>
          <cell r="D27">
            <v>1</v>
          </cell>
          <cell r="E27">
            <v>5.8131942142098</v>
          </cell>
          <cell r="F27">
            <v>0.225700871286816</v>
          </cell>
          <cell r="G27">
            <v>5.35586391703686</v>
          </cell>
          <cell r="H27">
            <v>9.15162581387982</v>
          </cell>
          <cell r="I27">
            <v>4.46968648066392</v>
          </cell>
          <cell r="J27">
            <v>2.73317451827237</v>
          </cell>
        </row>
        <row r="28">
          <cell r="B28">
            <v>1</v>
          </cell>
          <cell r="C28">
            <v>0.41276154815273</v>
          </cell>
          <cell r="D28">
            <v>1</v>
          </cell>
          <cell r="E28">
            <v>4.27344809013978</v>
          </cell>
          <cell r="F28">
            <v>1.01775650534483</v>
          </cell>
          <cell r="G28">
            <v>2.94132295079007</v>
          </cell>
          <cell r="H28">
            <v>1.94221262852976</v>
          </cell>
          <cell r="I28">
            <v>1.70325887700663</v>
          </cell>
          <cell r="J28">
            <v>2.16656432211048</v>
          </cell>
        </row>
        <row r="29">
          <cell r="B29">
            <v>1</v>
          </cell>
          <cell r="C29">
            <v>0.336246431522173</v>
          </cell>
          <cell r="D29">
            <v>1</v>
          </cell>
          <cell r="E29">
            <v>4.65504688605912</v>
          </cell>
          <cell r="F29">
            <v>1.20139990555843</v>
          </cell>
          <cell r="G29">
            <v>2.28557457177441</v>
          </cell>
          <cell r="H29">
            <v>3.62822554243859</v>
          </cell>
          <cell r="I29">
            <v>4.35414224329095</v>
          </cell>
          <cell r="J29">
            <v>3.17396921134067</v>
          </cell>
        </row>
        <row r="30">
          <cell r="B30">
            <v>1</v>
          </cell>
          <cell r="C30">
            <v>0.50974796043821</v>
          </cell>
          <cell r="D30">
            <v>1</v>
          </cell>
          <cell r="E30">
            <v>2.44395547395143</v>
          </cell>
          <cell r="F30">
            <v>0.63622900413311</v>
          </cell>
          <cell r="G30">
            <v>1.87768978323313</v>
          </cell>
          <cell r="H30">
            <v>2.55867440767512</v>
          </cell>
          <cell r="I30">
            <v>2.47100125376409</v>
          </cell>
          <cell r="J30">
            <v>2.01582431247033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L9" sqref="L9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1996</v>
      </c>
      <c r="B2" s="2">
        <f>MIN(1.2,'[1]_Fig.5撤稿率比值-结果-从过程更新数据'!B2)</f>
        <v>1</v>
      </c>
      <c r="C2" s="2">
        <f>MIN(1.2,'[1]_Fig.5撤稿率比值-结果-从过程更新数据'!C2)</f>
        <v>1.2</v>
      </c>
      <c r="D2" s="2">
        <f>MIN(1.2,'[1]_Fig.5撤稿率比值-结果-从过程更新数据'!D2)</f>
        <v>1</v>
      </c>
      <c r="E2" s="2">
        <f>MIN(1.2,'[1]_Fig.5撤稿率比值-结果-从过程更新数据'!E2)</f>
        <v>0.309807456714887</v>
      </c>
      <c r="F2" s="2">
        <f>MIN(1.2,'[1]_Fig.5撤稿率比值-结果-从过程更新数据'!F2)</f>
        <v>0.604639923884508</v>
      </c>
      <c r="G2" s="2">
        <f>MIN(1.2,'[1]_Fig.5撤稿率比值-结果-从过程更新数据'!G2)</f>
        <v>0.327595200998764</v>
      </c>
      <c r="H2" s="2">
        <f>MIN(1.2,'[1]_Fig.5撤稿率比值-结果-从过程更新数据'!H2)</f>
        <v>1.2</v>
      </c>
      <c r="I2" s="2">
        <f>MIN(1.2,'[1]_Fig.5撤稿率比值-结果-从过程更新数据'!I2)</f>
        <v>1.2</v>
      </c>
      <c r="J2" s="2">
        <f>MIN(1.2,'[1]_Fig.5撤稿率比值-结果-从过程更新数据'!J2)</f>
        <v>0.966742501687919</v>
      </c>
    </row>
    <row r="3" spans="1:10">
      <c r="A3" s="2">
        <v>1997</v>
      </c>
      <c r="B3" s="2">
        <f>MIN(1.2,'[1]_Fig.5撤稿率比值-结果-从过程更新数据'!B3)</f>
        <v>1</v>
      </c>
      <c r="C3" s="2">
        <f>MIN(1.2,'[1]_Fig.5撤稿率比值-结果-从过程更新数据'!C3)</f>
        <v>1.19080177384756</v>
      </c>
      <c r="D3" s="2">
        <f>MIN(1.2,'[1]_Fig.5撤稿率比值-结果-从过程更新数据'!D3)</f>
        <v>1</v>
      </c>
      <c r="E3" s="2">
        <f>MIN(1.2,'[1]_Fig.5撤稿率比值-结果-从过程更新数据'!E3)</f>
        <v>0.496262614003878</v>
      </c>
      <c r="F3" s="2">
        <f>MIN(1.2,'[1]_Fig.5撤稿率比值-结果-从过程更新数据'!F3)</f>
        <v>1.2</v>
      </c>
      <c r="G3" s="2">
        <f>MIN(1.2,'[1]_Fig.5撤稿率比值-结果-从过程更新数据'!G3)</f>
        <v>0.3185793147333</v>
      </c>
      <c r="H3" s="2">
        <f>MIN(1.2,'[1]_Fig.5撤稿率比值-结果-从过程更新数据'!H3)</f>
        <v>1.2</v>
      </c>
      <c r="I3" s="2">
        <f>MIN(1.2,'[1]_Fig.5撤稿率比值-结果-从过程更新数据'!I3)</f>
        <v>1.2</v>
      </c>
      <c r="J3" s="2">
        <f>MIN(1.2,'[1]_Fig.5撤稿率比值-结果-从过程更新数据'!J3)</f>
        <v>1.12139062444845</v>
      </c>
    </row>
    <row r="4" spans="1:10">
      <c r="A4" s="2">
        <v>1998</v>
      </c>
      <c r="B4" s="2">
        <f>MIN(1.2,'[1]_Fig.5撤稿率比值-结果-从过程更新数据'!B4)</f>
        <v>1</v>
      </c>
      <c r="C4" s="2">
        <f>MIN(1.2,'[1]_Fig.5撤稿率比值-结果-从过程更新数据'!C4)</f>
        <v>1.2</v>
      </c>
      <c r="D4" s="2">
        <f>MIN(1.2,'[1]_Fig.5撤稿率比值-结果-从过程更新数据'!D4)</f>
        <v>1</v>
      </c>
      <c r="E4" s="2">
        <f>MIN(1.2,'[1]_Fig.5撤稿率比值-结果-从过程更新数据'!E4)</f>
        <v>1.17406047927687</v>
      </c>
      <c r="F4" s="2">
        <f>MIN(1.2,'[1]_Fig.5撤稿率比值-结果-从过程更新数据'!F4)</f>
        <v>1.2</v>
      </c>
      <c r="G4" s="2">
        <f>MIN(1.2,'[1]_Fig.5撤稿率比值-结果-从过程更新数据'!G4)</f>
        <v>0.197929208025053</v>
      </c>
      <c r="H4" s="2">
        <f>MIN(1.2,'[1]_Fig.5撤稿率比值-结果-从过程更新数据'!H4)</f>
        <v>1.2</v>
      </c>
      <c r="I4" s="2">
        <f>MIN(1.2,'[1]_Fig.5撤稿率比值-结果-从过程更新数据'!I4)</f>
        <v>0.814150816614341</v>
      </c>
      <c r="J4" s="2">
        <f>MIN(1.2,'[1]_Fig.5撤稿率比值-结果-从过程更新数据'!J4)</f>
        <v>1.13298425458993</v>
      </c>
    </row>
    <row r="5" spans="1:10">
      <c r="A5" s="2">
        <v>1999</v>
      </c>
      <c r="B5" s="2">
        <f>MIN(1.2,'[1]_Fig.5撤稿率比值-结果-从过程更新数据'!B5)</f>
        <v>1</v>
      </c>
      <c r="C5" s="2">
        <f>MIN(1.2,'[1]_Fig.5撤稿率比值-结果-从过程更新数据'!C5)</f>
        <v>1.2</v>
      </c>
      <c r="D5" s="2">
        <f>MIN(1.2,'[1]_Fig.5撤稿率比值-结果-从过程更新数据'!D5)</f>
        <v>1</v>
      </c>
      <c r="E5" s="2">
        <f>MIN(1.2,'[1]_Fig.5撤稿率比值-结果-从过程更新数据'!E5)</f>
        <v>0.661244749952818</v>
      </c>
      <c r="F5" s="2">
        <f>MIN(1.2,'[1]_Fig.5撤稿率比值-结果-从过程更新数据'!F5)</f>
        <v>0.872039417047358</v>
      </c>
      <c r="G5" s="2">
        <f>MIN(1.2,'[1]_Fig.5撤稿率比值-结果-从过程更新数据'!G5)</f>
        <v>0.252299508179239</v>
      </c>
      <c r="H5" s="2">
        <f>MIN(1.2,'[1]_Fig.5撤稿率比值-结果-从过程更新数据'!H5)</f>
        <v>1.2</v>
      </c>
      <c r="I5" s="2">
        <f>MIN(1.2,'[1]_Fig.5撤稿率比值-结果-从过程更新数据'!I5)</f>
        <v>0.715625538050098</v>
      </c>
      <c r="J5" s="2">
        <f>MIN(1.2,'[1]_Fig.5撤稿率比值-结果-从过程更新数据'!J5)</f>
        <v>1.2</v>
      </c>
    </row>
    <row r="6" spans="1:10">
      <c r="A6" s="2">
        <v>2000</v>
      </c>
      <c r="B6" s="2">
        <f>MIN(1.2,'[1]_Fig.5撤稿率比值-结果-从过程更新数据'!B6)</f>
        <v>1</v>
      </c>
      <c r="C6" s="2">
        <f>MIN(1.2,'[1]_Fig.5撤稿率比值-结果-从过程更新数据'!C6)</f>
        <v>1.1416543181239</v>
      </c>
      <c r="D6" s="2">
        <f>MIN(1.2,'[1]_Fig.5撤稿率比值-结果-从过程更新数据'!D6)</f>
        <v>1</v>
      </c>
      <c r="E6" s="2">
        <f>MIN(1.2,'[1]_Fig.5撤稿率比值-结果-从过程更新数据'!E6)</f>
        <v>0.486717304594167</v>
      </c>
      <c r="F6" s="2">
        <f>MIN(1.2,'[1]_Fig.5撤稿率比值-结果-从过程更新数据'!F6)</f>
        <v>0.818734519810827</v>
      </c>
      <c r="G6" s="2">
        <f>MIN(1.2,'[1]_Fig.5撤稿率比值-结果-从过程更新数据'!G6)</f>
        <v>0.5581743792282</v>
      </c>
      <c r="H6" s="2">
        <f>MIN(1.2,'[1]_Fig.5撤稿率比值-结果-从过程更新数据'!H6)</f>
        <v>1.2</v>
      </c>
      <c r="I6" s="2">
        <f>MIN(1.2,'[1]_Fig.5撤稿率比值-结果-从过程更新数据'!I6)</f>
        <v>0.608192045280298</v>
      </c>
      <c r="J6" s="2">
        <f>MIN(1.2,'[1]_Fig.5撤稿率比值-结果-从过程更新数据'!J6)</f>
        <v>0.889358356260396</v>
      </c>
    </row>
    <row r="7" spans="1:10">
      <c r="A7" s="2">
        <v>2001</v>
      </c>
      <c r="B7" s="2">
        <f>MIN(1.2,'[1]_Fig.5撤稿率比值-结果-从过程更新数据'!B7)</f>
        <v>1</v>
      </c>
      <c r="C7" s="2">
        <f>MIN(1.2,'[1]_Fig.5撤稿率比值-结果-从过程更新数据'!C7)</f>
        <v>1.2</v>
      </c>
      <c r="D7" s="2">
        <f>MIN(1.2,'[1]_Fig.5撤稿率比值-结果-从过程更新数据'!D7)</f>
        <v>1</v>
      </c>
      <c r="E7" s="2">
        <f>MIN(1.2,'[1]_Fig.5撤稿率比值-结果-从过程更新数据'!E7)</f>
        <v>0.691804411279673</v>
      </c>
      <c r="F7" s="2">
        <f>MIN(1.2,'[1]_Fig.5撤稿率比值-结果-从过程更新数据'!F7)</f>
        <v>0.697487535979734</v>
      </c>
      <c r="G7" s="2">
        <f>MIN(1.2,'[1]_Fig.5撤稿率比值-结果-从过程更新数据'!G7)</f>
        <v>0.408172381300889</v>
      </c>
      <c r="H7" s="2">
        <f>MIN(1.2,'[1]_Fig.5撤稿率比值-结果-从过程更新数据'!H7)</f>
        <v>1.2</v>
      </c>
      <c r="I7" s="2">
        <f>MIN(1.2,'[1]_Fig.5撤稿率比值-结果-从过程更新数据'!I7)</f>
        <v>0.476771602672204</v>
      </c>
      <c r="J7" s="2">
        <f>MIN(1.2,'[1]_Fig.5撤稿率比值-结果-从过程更新数据'!J7)</f>
        <v>0.752656209228424</v>
      </c>
    </row>
    <row r="8" spans="1:10">
      <c r="A8" s="2">
        <v>2002</v>
      </c>
      <c r="B8" s="2">
        <f>MIN(1.2,'[1]_Fig.5撤稿率比值-结果-从过程更新数据'!B8)</f>
        <v>1</v>
      </c>
      <c r="C8" s="2">
        <f>MIN(1.2,'[1]_Fig.5撤稿率比值-结果-从过程更新数据'!C8)</f>
        <v>0.926396836496792</v>
      </c>
      <c r="D8" s="2">
        <f>MIN(1.2,'[1]_Fig.5撤稿率比值-结果-从过程更新数据'!D8)</f>
        <v>1</v>
      </c>
      <c r="E8" s="2">
        <f>MIN(1.2,'[1]_Fig.5撤稿率比值-结果-从过程更新数据'!E8)</f>
        <v>0.631737069748205</v>
      </c>
      <c r="F8" s="2">
        <f>MIN(1.2,'[1]_Fig.5撤稿率比值-结果-从过程更新数据'!F8)</f>
        <v>1.08600746544113</v>
      </c>
      <c r="G8" s="2">
        <f>MIN(1.2,'[1]_Fig.5撤稿率比值-结果-从过程更新数据'!G8)</f>
        <v>0.383875183039252</v>
      </c>
      <c r="H8" s="2">
        <f>MIN(1.2,'[1]_Fig.5撤稿率比值-结果-从过程更新数据'!H8)</f>
        <v>1.2</v>
      </c>
      <c r="I8" s="2">
        <f>MIN(1.2,'[1]_Fig.5撤稿率比值-结果-从过程更新数据'!I8)</f>
        <v>0.405521114158565</v>
      </c>
      <c r="J8" s="2">
        <f>MIN(1.2,'[1]_Fig.5撤稿率比值-结果-从过程更新数据'!J8)</f>
        <v>0.84355595318853</v>
      </c>
    </row>
    <row r="9" spans="1:10">
      <c r="A9" s="2">
        <v>2003</v>
      </c>
      <c r="B9" s="2">
        <f>MIN(1.2,'[1]_Fig.5撤稿率比值-结果-从过程更新数据'!B9)</f>
        <v>1</v>
      </c>
      <c r="C9" s="2">
        <f>MIN(1.2,'[1]_Fig.5撤稿率比值-结果-从过程更新数据'!C9)</f>
        <v>1.2</v>
      </c>
      <c r="D9" s="2">
        <f>MIN(1.2,'[1]_Fig.5撤稿率比值-结果-从过程更新数据'!D9)</f>
        <v>1</v>
      </c>
      <c r="E9" s="2">
        <f>MIN(1.2,'[1]_Fig.5撤稿率比值-结果-从过程更新数据'!E9)</f>
        <v>0.631565203137476</v>
      </c>
      <c r="F9" s="2">
        <f>MIN(1.2,'[1]_Fig.5撤稿率比值-结果-从过程更新数据'!F9)</f>
        <v>0.454086583421827</v>
      </c>
      <c r="G9" s="2">
        <f>MIN(1.2,'[1]_Fig.5撤稿率比值-结果-从过程更新数据'!G9)</f>
        <v>0.56046062879134</v>
      </c>
      <c r="H9" s="2">
        <f>MIN(1.2,'[1]_Fig.5撤稿率比值-结果-从过程更新数据'!H9)</f>
        <v>1.2</v>
      </c>
      <c r="I9" s="2">
        <f>MIN(1.2,'[1]_Fig.5撤稿率比值-结果-从过程更新数据'!I9)</f>
        <v>0.554648540699477</v>
      </c>
      <c r="J9" s="2">
        <f>MIN(1.2,'[1]_Fig.5撤稿率比值-结果-从过程更新数据'!J9)</f>
        <v>0.845882111690927</v>
      </c>
    </row>
    <row r="10" spans="1:10">
      <c r="A10" s="2">
        <v>2004</v>
      </c>
      <c r="B10" s="2">
        <f>MIN(1.2,'[1]_Fig.5撤稿率比值-结果-从过程更新数据'!B10)</f>
        <v>1</v>
      </c>
      <c r="C10" s="2">
        <f>MIN(1.2,'[1]_Fig.5撤稿率比值-结果-从过程更新数据'!C10)</f>
        <v>1.09319091613709</v>
      </c>
      <c r="D10" s="2">
        <f>MIN(1.2,'[1]_Fig.5撤稿率比值-结果-从过程更新数据'!D10)</f>
        <v>1</v>
      </c>
      <c r="E10" s="2">
        <f>MIN(1.2,'[1]_Fig.5撤稿率比值-结果-从过程更新数据'!E10)</f>
        <v>0.731078953805283</v>
      </c>
      <c r="F10" s="2">
        <f>MIN(1.2,'[1]_Fig.5撤稿率比值-结果-从过程更新数据'!F10)</f>
        <v>0.728376897369099</v>
      </c>
      <c r="G10" s="2">
        <f>MIN(1.2,'[1]_Fig.5撤稿率比值-结果-从过程更新数据'!G10)</f>
        <v>0.506088216101111</v>
      </c>
      <c r="H10" s="2">
        <f>MIN(1.2,'[1]_Fig.5撤稿率比值-结果-从过程更新数据'!H10)</f>
        <v>1.2</v>
      </c>
      <c r="I10" s="2">
        <f>MIN(1.2,'[1]_Fig.5撤稿率比值-结果-从过程更新数据'!I10)</f>
        <v>0.609129113808086</v>
      </c>
      <c r="J10" s="2">
        <f>MIN(1.2,'[1]_Fig.5撤稿率比值-结果-从过程更新数据'!J10)</f>
        <v>0.844674869149878</v>
      </c>
    </row>
    <row r="11" spans="1:10">
      <c r="A11" s="2">
        <v>2005</v>
      </c>
      <c r="B11" s="2">
        <f>MIN(1.2,'[1]_Fig.5撤稿率比值-结果-从过程更新数据'!B11)</f>
        <v>1</v>
      </c>
      <c r="C11" s="2">
        <f>MIN(1.2,'[1]_Fig.5撤稿率比值-结果-从过程更新数据'!C11)</f>
        <v>1.06941385465957</v>
      </c>
      <c r="D11" s="2">
        <f>MIN(1.2,'[1]_Fig.5撤稿率比值-结果-从过程更新数据'!D11)</f>
        <v>1</v>
      </c>
      <c r="E11" s="2">
        <f>MIN(1.2,'[1]_Fig.5撤稿率比值-结果-从过程更新数据'!E11)</f>
        <v>1.2</v>
      </c>
      <c r="F11" s="2">
        <f>MIN(1.2,'[1]_Fig.5撤稿率比值-结果-从过程更新数据'!F11)</f>
        <v>0.590349602342453</v>
      </c>
      <c r="G11" s="2">
        <f>MIN(1.2,'[1]_Fig.5撤稿率比值-结果-从过程更新数据'!G11)</f>
        <v>0.522686635306039</v>
      </c>
      <c r="H11" s="2">
        <f>MIN(1.2,'[1]_Fig.5撤稿率比值-结果-从过程更新数据'!H11)</f>
        <v>1.2</v>
      </c>
      <c r="I11" s="2">
        <f>MIN(1.2,'[1]_Fig.5撤稿率比值-结果-从过程更新数据'!I11)</f>
        <v>0.587669183265677</v>
      </c>
      <c r="J11" s="2">
        <f>MIN(1.2,'[1]_Fig.5撤稿率比值-结果-从过程更新数据'!J11)</f>
        <v>0.82915055221995</v>
      </c>
    </row>
    <row r="12" spans="1:10">
      <c r="A12" s="2">
        <v>2006</v>
      </c>
      <c r="B12" s="2">
        <f>MIN(1.2,'[1]_Fig.5撤稿率比值-结果-从过程更新数据'!B12)</f>
        <v>1</v>
      </c>
      <c r="C12" s="2">
        <f>MIN(1.2,'[1]_Fig.5撤稿率比值-结果-从过程更新数据'!C12)</f>
        <v>0.698115001136526</v>
      </c>
      <c r="D12" s="2">
        <f>MIN(1.2,'[1]_Fig.5撤稿率比值-结果-从过程更新数据'!D12)</f>
        <v>1</v>
      </c>
      <c r="E12" s="2">
        <f>MIN(1.2,'[1]_Fig.5撤稿率比值-结果-从过程更新数据'!E12)</f>
        <v>1.2</v>
      </c>
      <c r="F12" s="2">
        <f>MIN(1.2,'[1]_Fig.5撤稿率比值-结果-从过程更新数据'!F12)</f>
        <v>0.341783040227103</v>
      </c>
      <c r="G12" s="2">
        <f>MIN(1.2,'[1]_Fig.5撤稿率比值-结果-从过程更新数据'!G12)</f>
        <v>0.724247259613673</v>
      </c>
      <c r="H12" s="2">
        <f>MIN(1.2,'[1]_Fig.5撤稿率比值-结果-从过程更新数据'!H12)</f>
        <v>1.2</v>
      </c>
      <c r="I12" s="2">
        <f>MIN(1.2,'[1]_Fig.5撤稿率比值-结果-从过程更新数据'!I12)</f>
        <v>0.90222967714055</v>
      </c>
      <c r="J12" s="2">
        <f>MIN(1.2,'[1]_Fig.5撤稿率比值-结果-从过程更新数据'!J12)</f>
        <v>0.809203424989803</v>
      </c>
    </row>
    <row r="13" spans="1:10">
      <c r="A13" s="2">
        <v>2007</v>
      </c>
      <c r="B13" s="2">
        <f>MIN(1.2,'[1]_Fig.5撤稿率比值-结果-从过程更新数据'!B13)</f>
        <v>1</v>
      </c>
      <c r="C13" s="2">
        <f>MIN(1.2,'[1]_Fig.5撤稿率比值-结果-从过程更新数据'!C13)</f>
        <v>0.334141252377657</v>
      </c>
      <c r="D13" s="2">
        <f>MIN(1.2,'[1]_Fig.5撤稿率比值-结果-从过程更新数据'!D13)</f>
        <v>1</v>
      </c>
      <c r="E13" s="2">
        <f>MIN(1.2,'[1]_Fig.5撤稿率比值-结果-从过程更新数据'!E13)</f>
        <v>1.2</v>
      </c>
      <c r="F13" s="2">
        <f>MIN(1.2,'[1]_Fig.5撤稿率比值-结果-从过程更新数据'!F13)</f>
        <v>0.394725101247727</v>
      </c>
      <c r="G13" s="2">
        <f>MIN(1.2,'[1]_Fig.5撤稿率比值-结果-从过程更新数据'!G13)</f>
        <v>0.732977609002832</v>
      </c>
      <c r="H13" s="2">
        <f>MIN(1.2,'[1]_Fig.5撤稿率比值-结果-从过程更新数据'!H13)</f>
        <v>1.2</v>
      </c>
      <c r="I13" s="2">
        <f>MIN(1.2,'[1]_Fig.5撤稿率比值-结果-从过程更新数据'!I13)</f>
        <v>1.2</v>
      </c>
      <c r="J13" s="2">
        <f>MIN(1.2,'[1]_Fig.5撤稿率比值-结果-从过程更新数据'!J13)</f>
        <v>1.12753584266566</v>
      </c>
    </row>
    <row r="14" spans="1:10">
      <c r="A14" s="2">
        <v>2008</v>
      </c>
      <c r="B14" s="2">
        <f>MIN(1.2,'[1]_Fig.5撤稿率比值-结果-从过程更新数据'!B14)</f>
        <v>1</v>
      </c>
      <c r="C14" s="2">
        <f>MIN(1.2,'[1]_Fig.5撤稿率比值-结果-从过程更新数据'!C14)</f>
        <v>0.496088886801482</v>
      </c>
      <c r="D14" s="2">
        <f>MIN(1.2,'[1]_Fig.5撤稿率比值-结果-从过程更新数据'!D14)</f>
        <v>1</v>
      </c>
      <c r="E14" s="2">
        <f>MIN(1.2,'[1]_Fig.5撤稿率比值-结果-从过程更新数据'!E14)</f>
        <v>1.15669751061665</v>
      </c>
      <c r="F14" s="2">
        <f>MIN(1.2,'[1]_Fig.5撤稿率比值-结果-从过程更新数据'!F14)</f>
        <v>0.54977907336851</v>
      </c>
      <c r="G14" s="2">
        <f>MIN(1.2,'[1]_Fig.5撤稿率比值-结果-从过程更新数据'!G14)</f>
        <v>0.857632022327669</v>
      </c>
      <c r="H14" s="2">
        <f>MIN(1.2,'[1]_Fig.5撤稿率比值-结果-从过程更新数据'!H14)</f>
        <v>1.2</v>
      </c>
      <c r="I14" s="2">
        <f>MIN(1.2,'[1]_Fig.5撤稿率比值-结果-从过程更新数据'!I14)</f>
        <v>0.891539249957169</v>
      </c>
      <c r="J14" s="2">
        <f>MIN(1.2,'[1]_Fig.5撤稿率比值-结果-从过程更新数据'!J14)</f>
        <v>0.966384720629885</v>
      </c>
    </row>
    <row r="15" spans="1:10">
      <c r="A15" s="2">
        <v>2009</v>
      </c>
      <c r="B15" s="2">
        <f>MIN(1.2,'[1]_Fig.5撤稿率比值-结果-从过程更新数据'!B15)</f>
        <v>1</v>
      </c>
      <c r="C15" s="2">
        <f>MIN(1.2,'[1]_Fig.5撤稿率比值-结果-从过程更新数据'!C15)</f>
        <v>0.243626923538479</v>
      </c>
      <c r="D15" s="2">
        <f>MIN(1.2,'[1]_Fig.5撤稿率比值-结果-从过程更新数据'!D15)</f>
        <v>1</v>
      </c>
      <c r="E15" s="2">
        <f>MIN(1.2,'[1]_Fig.5撤稿率比值-结果-从过程更新数据'!E15)</f>
        <v>1.2</v>
      </c>
      <c r="F15" s="2">
        <f>MIN(1.2,'[1]_Fig.5撤稿率比值-结果-从过程更新数据'!F15)</f>
        <v>0.677128223757319</v>
      </c>
      <c r="G15" s="2">
        <f>MIN(1.2,'[1]_Fig.5撤稿率比值-结果-从过程更新数据'!G15)</f>
        <v>1.2</v>
      </c>
      <c r="H15" s="2">
        <f>MIN(1.2,'[1]_Fig.5撤稿率比值-结果-从过程更新数据'!H15)</f>
        <v>1.2</v>
      </c>
      <c r="I15" s="2">
        <f>MIN(1.2,'[1]_Fig.5撤稿率比值-结果-从过程更新数据'!I15)</f>
        <v>1.2</v>
      </c>
      <c r="J15" s="2">
        <f>MIN(1.2,'[1]_Fig.5撤稿率比值-结果-从过程更新数据'!J15)</f>
        <v>1.2</v>
      </c>
    </row>
    <row r="16" spans="1:10">
      <c r="A16" s="2">
        <v>2010</v>
      </c>
      <c r="B16" s="2">
        <f>MIN(1.2,'[1]_Fig.5撤稿率比值-结果-从过程更新数据'!B16)</f>
        <v>1</v>
      </c>
      <c r="C16" s="2">
        <f>MIN(1.2,'[1]_Fig.5撤稿率比值-结果-从过程更新数据'!C16)</f>
        <v>0.175656378764397</v>
      </c>
      <c r="D16" s="2">
        <f>MIN(1.2,'[1]_Fig.5撤稿率比值-结果-从过程更新数据'!D16)</f>
        <v>1</v>
      </c>
      <c r="E16" s="2">
        <f>MIN(1.2,'[1]_Fig.5撤稿率比值-结果-从过程更新数据'!E16)</f>
        <v>1.2</v>
      </c>
      <c r="F16" s="2">
        <f>MIN(1.2,'[1]_Fig.5撤稿率比值-结果-从过程更新数据'!F16)</f>
        <v>1.2</v>
      </c>
      <c r="G16" s="2">
        <f>MIN(1.2,'[1]_Fig.5撤稿率比值-结果-从过程更新数据'!G16)</f>
        <v>1.2</v>
      </c>
      <c r="H16" s="2">
        <f>MIN(1.2,'[1]_Fig.5撤稿率比值-结果-从过程更新数据'!H16)</f>
        <v>1.2</v>
      </c>
      <c r="I16" s="2">
        <f>MIN(1.2,'[1]_Fig.5撤稿率比值-结果-从过程更新数据'!I16)</f>
        <v>1.2</v>
      </c>
      <c r="J16" s="2">
        <f>MIN(1.2,'[1]_Fig.5撤稿率比值-结果-从过程更新数据'!J16)</f>
        <v>1.2</v>
      </c>
    </row>
    <row r="17" spans="1:10">
      <c r="A17" s="2">
        <v>2011</v>
      </c>
      <c r="B17" s="2">
        <f>MIN(1.2,'[1]_Fig.5撤稿率比值-结果-从过程更新数据'!B17)</f>
        <v>1</v>
      </c>
      <c r="C17" s="2">
        <f>MIN(1.2,'[1]_Fig.5撤稿率比值-结果-从过程更新数据'!C17)</f>
        <v>0.186794934674455</v>
      </c>
      <c r="D17" s="2">
        <f>MIN(1.2,'[1]_Fig.5撤稿率比值-结果-从过程更新数据'!D17)</f>
        <v>1</v>
      </c>
      <c r="E17" s="2">
        <f>MIN(1.2,'[1]_Fig.5撤稿率比值-结果-从过程更新数据'!E17)</f>
        <v>1.2</v>
      </c>
      <c r="F17" s="2">
        <f>MIN(1.2,'[1]_Fig.5撤稿率比值-结果-从过程更新数据'!F17)</f>
        <v>1.2</v>
      </c>
      <c r="G17" s="2">
        <f>MIN(1.2,'[1]_Fig.5撤稿率比值-结果-从过程更新数据'!G17)</f>
        <v>1.2</v>
      </c>
      <c r="H17" s="2">
        <f>MIN(1.2,'[1]_Fig.5撤稿率比值-结果-从过程更新数据'!H17)</f>
        <v>1.2</v>
      </c>
      <c r="I17" s="2">
        <f>MIN(1.2,'[1]_Fig.5撤稿率比值-结果-从过程更新数据'!I17)</f>
        <v>1.2</v>
      </c>
      <c r="J17" s="2">
        <f>MIN(1.2,'[1]_Fig.5撤稿率比值-结果-从过程更新数据'!J17)</f>
        <v>1.2</v>
      </c>
    </row>
    <row r="18" spans="1:10">
      <c r="A18" s="2">
        <v>2012</v>
      </c>
      <c r="B18" s="2">
        <f>MIN(1.2,'[1]_Fig.5撤稿率比值-结果-从过程更新数据'!B18)</f>
        <v>1</v>
      </c>
      <c r="C18" s="2">
        <f>MIN(1.2,'[1]_Fig.5撤稿率比值-结果-从过程更新数据'!C18)</f>
        <v>0.821138975881638</v>
      </c>
      <c r="D18" s="2">
        <f>MIN(1.2,'[1]_Fig.5撤稿率比值-结果-从过程更新数据'!D18)</f>
        <v>1</v>
      </c>
      <c r="E18" s="2">
        <f>MIN(1.2,'[1]_Fig.5撤稿率比值-结果-从过程更新数据'!E18)</f>
        <v>1.2</v>
      </c>
      <c r="F18" s="2">
        <f>MIN(1.2,'[1]_Fig.5撤稿率比值-结果-从过程更新数据'!F18)</f>
        <v>0.387564229645054</v>
      </c>
      <c r="G18" s="2">
        <f>MIN(1.2,'[1]_Fig.5撤稿率比值-结果-从过程更新数据'!G18)</f>
        <v>1.16649700489312</v>
      </c>
      <c r="H18" s="2">
        <f>MIN(1.2,'[1]_Fig.5撤稿率比值-结果-从过程更新数据'!H18)</f>
        <v>1.2</v>
      </c>
      <c r="I18" s="2">
        <f>MIN(1.2,'[1]_Fig.5撤稿率比值-结果-从过程更新数据'!I18)</f>
        <v>1.2</v>
      </c>
      <c r="J18" s="2">
        <f>MIN(1.2,'[1]_Fig.5撤稿率比值-结果-从过程更新数据'!J18)</f>
        <v>1.14991011435704</v>
      </c>
    </row>
    <row r="19" spans="1:10">
      <c r="A19" s="2">
        <v>2013</v>
      </c>
      <c r="B19" s="2">
        <f>MIN(1.2,'[1]_Fig.5撤稿率比值-结果-从过程更新数据'!B19)</f>
        <v>1</v>
      </c>
      <c r="C19" s="2">
        <f>MIN(1.2,'[1]_Fig.5撤稿率比值-结果-从过程更新数据'!C19)</f>
        <v>0.378046510648053</v>
      </c>
      <c r="D19" s="2">
        <f>MIN(1.2,'[1]_Fig.5撤稿率比值-结果-从过程更新数据'!D19)</f>
        <v>1</v>
      </c>
      <c r="E19" s="2">
        <f>MIN(1.2,'[1]_Fig.5撤稿率比值-结果-从过程更新数据'!E19)</f>
        <v>1.2</v>
      </c>
      <c r="F19" s="2">
        <f>MIN(1.2,'[1]_Fig.5撤稿率比值-结果-从过程更新数据'!F19)</f>
        <v>0.456613971876957</v>
      </c>
      <c r="G19" s="2">
        <f>MIN(1.2,'[1]_Fig.5撤稿率比值-结果-从过程更新数据'!G19)</f>
        <v>1.2</v>
      </c>
      <c r="H19" s="2">
        <f>MIN(1.2,'[1]_Fig.5撤稿率比值-结果-从过程更新数据'!H19)</f>
        <v>1.2</v>
      </c>
      <c r="I19" s="2">
        <f>MIN(1.2,'[1]_Fig.5撤稿率比值-结果-从过程更新数据'!I19)</f>
        <v>1.2</v>
      </c>
      <c r="J19" s="2">
        <f>MIN(1.2,'[1]_Fig.5撤稿率比值-结果-从过程更新数据'!J19)</f>
        <v>1.2</v>
      </c>
    </row>
    <row r="20" spans="1:10">
      <c r="A20" s="2">
        <v>2014</v>
      </c>
      <c r="B20" s="2">
        <f>MIN(1.2,'[1]_Fig.5撤稿率比值-结果-从过程更新数据'!B20)</f>
        <v>1</v>
      </c>
      <c r="C20" s="2">
        <f>MIN(1.2,'[1]_Fig.5撤稿率比值-结果-从过程更新数据'!C20)</f>
        <v>0.453324970899675</v>
      </c>
      <c r="D20" s="2">
        <f>MIN(1.2,'[1]_Fig.5撤稿率比值-结果-从过程更新数据'!D20)</f>
        <v>1</v>
      </c>
      <c r="E20" s="2">
        <f>MIN(1.2,'[1]_Fig.5撤稿率比值-结果-从过程更新数据'!E20)</f>
        <v>1.2</v>
      </c>
      <c r="F20" s="2">
        <f>MIN(1.2,'[1]_Fig.5撤稿率比值-结果-从过程更新数据'!F20)</f>
        <v>0.490100733505413</v>
      </c>
      <c r="G20" s="2">
        <f>MIN(1.2,'[1]_Fig.5撤稿率比值-结果-从过程更新数据'!G20)</f>
        <v>1.2</v>
      </c>
      <c r="H20" s="2">
        <f>MIN(1.2,'[1]_Fig.5撤稿率比值-结果-从过程更新数据'!H20)</f>
        <v>1.09600224848078</v>
      </c>
      <c r="I20" s="2">
        <f>MIN(1.2,'[1]_Fig.5撤稿率比值-结果-从过程更新数据'!I20)</f>
        <v>1.2</v>
      </c>
      <c r="J20" s="2">
        <f>MIN(1.2,'[1]_Fig.5撤稿率比值-结果-从过程更新数据'!J20)</f>
        <v>1.2</v>
      </c>
    </row>
    <row r="21" spans="1:10">
      <c r="A21" s="2">
        <v>2015</v>
      </c>
      <c r="B21" s="2">
        <f>MIN(1.2,'[1]_Fig.5撤稿率比值-结果-从过程更新数据'!B21)</f>
        <v>1</v>
      </c>
      <c r="C21" s="2">
        <f>MIN(1.2,'[1]_Fig.5撤稿率比值-结果-从过程更新数据'!C21)</f>
        <v>0.631375295364806</v>
      </c>
      <c r="D21" s="2">
        <f>MIN(1.2,'[1]_Fig.5撤稿率比值-结果-从过程更新数据'!D21)</f>
        <v>1</v>
      </c>
      <c r="E21" s="2">
        <f>MIN(1.2,'[1]_Fig.5撤稿率比值-结果-从过程更新数据'!E21)</f>
        <v>1.2</v>
      </c>
      <c r="F21" s="2">
        <f>MIN(1.2,'[1]_Fig.5撤稿率比值-结果-从过程更新数据'!F21)</f>
        <v>0.968828334048145</v>
      </c>
      <c r="G21" s="2">
        <f>MIN(1.2,'[1]_Fig.5撤稿率比值-结果-从过程更新数据'!G21)</f>
        <v>1.2</v>
      </c>
      <c r="H21" s="2">
        <f>MIN(1.2,'[1]_Fig.5撤稿率比值-结果-从过程更新数据'!H21)</f>
        <v>0.0683388276855365</v>
      </c>
      <c r="I21" s="2">
        <f>MIN(1.2,'[1]_Fig.5撤稿率比值-结果-从过程更新数据'!I21)</f>
        <v>1.2</v>
      </c>
      <c r="J21" s="2">
        <f>MIN(1.2,'[1]_Fig.5撤稿率比值-结果-从过程更新数据'!J21)</f>
        <v>1.2</v>
      </c>
    </row>
    <row r="22" spans="1:10">
      <c r="A22" s="2">
        <v>2016</v>
      </c>
      <c r="B22" s="2">
        <f>MIN(1.2,'[1]_Fig.5撤稿率比值-结果-从过程更新数据'!B22)</f>
        <v>1</v>
      </c>
      <c r="C22" s="2">
        <f>MIN(1.2,'[1]_Fig.5撤稿率比值-结果-从过程更新数据'!C22)</f>
        <v>0.755453461117703</v>
      </c>
      <c r="D22" s="2">
        <f>MIN(1.2,'[1]_Fig.5撤稿率比值-结果-从过程更新数据'!D22)</f>
        <v>1</v>
      </c>
      <c r="E22" s="2">
        <f>MIN(1.2,'[1]_Fig.5撤稿率比值-结果-从过程更新数据'!E22)</f>
        <v>1.2</v>
      </c>
      <c r="F22" s="2">
        <f>MIN(1.2,'[1]_Fig.5撤稿率比值-结果-从过程更新数据'!F22)</f>
        <v>1.05556928608275</v>
      </c>
      <c r="G22" s="2">
        <f>MIN(1.2,'[1]_Fig.5撤稿率比值-结果-从过程更新数据'!G22)</f>
        <v>1.2</v>
      </c>
      <c r="H22" s="2">
        <f>MIN(1.2,'[1]_Fig.5撤稿率比值-结果-从过程更新数据'!H22)</f>
        <v>0.0786734735299028</v>
      </c>
      <c r="I22" s="2">
        <f>MIN(1.2,'[1]_Fig.5撤稿率比值-结果-从过程更新数据'!I22)</f>
        <v>1.2</v>
      </c>
      <c r="J22" s="2">
        <f>MIN(1.2,'[1]_Fig.5撤稿率比值-结果-从过程更新数据'!J22)</f>
        <v>1.2</v>
      </c>
    </row>
    <row r="23" spans="1:10">
      <c r="A23" s="2">
        <v>2017</v>
      </c>
      <c r="B23" s="2">
        <f>MIN(1.2,'[1]_Fig.5撤稿率比值-结果-从过程更新数据'!B23)</f>
        <v>1</v>
      </c>
      <c r="C23" s="2">
        <f>MIN(1.2,'[1]_Fig.5撤稿率比值-结果-从过程更新数据'!C23)</f>
        <v>0.496968196995857</v>
      </c>
      <c r="D23" s="2">
        <f>MIN(1.2,'[1]_Fig.5撤稿率比值-结果-从过程更新数据'!D23)</f>
        <v>1</v>
      </c>
      <c r="E23" s="2">
        <f>MIN(1.2,'[1]_Fig.5撤稿率比值-结果-从过程更新数据'!E23)</f>
        <v>1.2</v>
      </c>
      <c r="F23" s="2">
        <f>MIN(1.2,'[1]_Fig.5撤稿率比值-结果-从过程更新数据'!F23)</f>
        <v>0.851243840644405</v>
      </c>
      <c r="G23" s="2">
        <f>MIN(1.2,'[1]_Fig.5撤稿率比值-结果-从过程更新数据'!G23)</f>
        <v>0.886173421290749</v>
      </c>
      <c r="H23" s="2">
        <f>MIN(1.2,'[1]_Fig.5撤稿率比值-结果-从过程更新数据'!H23)</f>
        <v>0.159083694136512</v>
      </c>
      <c r="I23" s="2">
        <f>MIN(1.2,'[1]_Fig.5撤稿率比值-结果-从过程更新数据'!I23)</f>
        <v>1.2</v>
      </c>
      <c r="J23" s="2">
        <f>MIN(1.2,'[1]_Fig.5撤稿率比值-结果-从过程更新数据'!J23)</f>
        <v>1.2</v>
      </c>
    </row>
    <row r="24" spans="1:10">
      <c r="A24" s="2">
        <v>2018</v>
      </c>
      <c r="B24" s="2">
        <f>MIN(1.2,'[1]_Fig.5撤稿率比值-结果-从过程更新数据'!B24)</f>
        <v>1</v>
      </c>
      <c r="C24" s="2">
        <f>MIN(1.2,'[1]_Fig.5撤稿率比值-结果-从过程更新数据'!C24)</f>
        <v>0.538221909469885</v>
      </c>
      <c r="D24" s="2">
        <f>MIN(1.2,'[1]_Fig.5撤稿率比值-结果-从过程更新数据'!D24)</f>
        <v>1</v>
      </c>
      <c r="E24" s="2">
        <f>MIN(1.2,'[1]_Fig.5撤稿率比值-结果-从过程更新数据'!E24)</f>
        <v>1.2</v>
      </c>
      <c r="F24" s="2">
        <f>MIN(1.2,'[1]_Fig.5撤稿率比值-结果-从过程更新数据'!F24)</f>
        <v>0.951986960897982</v>
      </c>
      <c r="G24" s="2">
        <f>MIN(1.2,'[1]_Fig.5撤稿率比值-结果-从过程更新数据'!G24)</f>
        <v>1.2</v>
      </c>
      <c r="H24" s="2">
        <f>MIN(1.2,'[1]_Fig.5撤稿率比值-结果-从过程更新数据'!H24)</f>
        <v>0.281178452875478</v>
      </c>
      <c r="I24" s="2">
        <f>MIN(1.2,'[1]_Fig.5撤稿率比值-结果-从过程更新数据'!I24)</f>
        <v>1.2</v>
      </c>
      <c r="J24" s="2">
        <f>MIN(1.2,'[1]_Fig.5撤稿率比值-结果-从过程更新数据'!J24)</f>
        <v>1.2</v>
      </c>
    </row>
    <row r="25" spans="1:10">
      <c r="A25" s="2">
        <v>2019</v>
      </c>
      <c r="B25" s="2">
        <f>MIN(1.2,'[1]_Fig.5撤稿率比值-结果-从过程更新数据'!B25)</f>
        <v>1</v>
      </c>
      <c r="C25" s="2">
        <f>MIN(1.2,'[1]_Fig.5撤稿率比值-结果-从过程更新数据'!C25)</f>
        <v>0.404561102616762</v>
      </c>
      <c r="D25" s="2">
        <f>MIN(1.2,'[1]_Fig.5撤稿率比值-结果-从过程更新数据'!D25)</f>
        <v>1</v>
      </c>
      <c r="E25" s="2">
        <f>MIN(1.2,'[1]_Fig.5撤稿率比值-结果-从过程更新数据'!E25)</f>
        <v>1.2</v>
      </c>
      <c r="F25" s="2">
        <f>MIN(1.2,'[1]_Fig.5撤稿率比值-结果-从过程更新数据'!F25)</f>
        <v>1.17645353371734</v>
      </c>
      <c r="G25" s="2">
        <f>MIN(1.2,'[1]_Fig.5撤稿率比值-结果-从过程更新数据'!G25)</f>
        <v>1.2</v>
      </c>
      <c r="H25" s="2">
        <f>MIN(1.2,'[1]_Fig.5撤稿率比值-结果-从过程更新数据'!H25)</f>
        <v>0.296461002742317</v>
      </c>
      <c r="I25" s="2">
        <f>MIN(1.2,'[1]_Fig.5撤稿率比值-结果-从过程更新数据'!I25)</f>
        <v>1.2</v>
      </c>
      <c r="J25" s="2">
        <f>MIN(1.2,'[1]_Fig.5撤稿率比值-结果-从过程更新数据'!J25)</f>
        <v>1.2</v>
      </c>
    </row>
    <row r="26" spans="1:10">
      <c r="A26" s="2">
        <v>2020</v>
      </c>
      <c r="B26" s="2">
        <f>MIN(1.2,'[1]_Fig.5撤稿率比值-结果-从过程更新数据'!B26)</f>
        <v>1</v>
      </c>
      <c r="C26" s="2">
        <f>MIN(1.2,'[1]_Fig.5撤稿率比值-结果-从过程更新数据'!C26)</f>
        <v>0.472832956165065</v>
      </c>
      <c r="D26" s="2">
        <f>MIN(1.2,'[1]_Fig.5撤稿率比值-结果-从过程更新数据'!D26)</f>
        <v>1</v>
      </c>
      <c r="E26" s="2">
        <f>MIN(1.2,'[1]_Fig.5撤稿率比值-结果-从过程更新数据'!E26)</f>
        <v>1.2</v>
      </c>
      <c r="F26" s="2">
        <f>MIN(1.2,'[1]_Fig.5撤稿率比值-结果-从过程更新数据'!F26)</f>
        <v>1.02792061552627</v>
      </c>
      <c r="G26" s="2">
        <f>MIN(1.2,'[1]_Fig.5撤稿率比值-结果-从过程更新数据'!G26)</f>
        <v>1.2</v>
      </c>
      <c r="H26" s="2">
        <f>MIN(1.2,'[1]_Fig.5撤稿率比值-结果-从过程更新数据'!H26)</f>
        <v>0.321189379176183</v>
      </c>
      <c r="I26" s="2">
        <f>MIN(1.2,'[1]_Fig.5撤稿率比值-结果-从过程更新数据'!I26)</f>
        <v>1.2</v>
      </c>
      <c r="J26" s="2">
        <f>MIN(1.2,'[1]_Fig.5撤稿率比值-结果-从过程更新数据'!J26)</f>
        <v>1.2</v>
      </c>
    </row>
    <row r="27" spans="1:10">
      <c r="A27" s="2">
        <v>2021</v>
      </c>
      <c r="B27" s="2">
        <f>MIN(1.2,'[1]_Fig.5撤稿率比值-结果-从过程更新数据'!B27)</f>
        <v>1</v>
      </c>
      <c r="C27" s="2">
        <f>MIN(1.2,'[1]_Fig.5撤稿率比值-结果-从过程更新数据'!C27)</f>
        <v>0.436105888068531</v>
      </c>
      <c r="D27" s="2">
        <f>MIN(1.2,'[1]_Fig.5撤稿率比值-结果-从过程更新数据'!D27)</f>
        <v>1</v>
      </c>
      <c r="E27" s="2">
        <f>MIN(1.2,'[1]_Fig.5撤稿率比值-结果-从过程更新数据'!E27)</f>
        <v>1.2</v>
      </c>
      <c r="F27" s="2">
        <f>MIN(1.2,'[1]_Fig.5撤稿率比值-结果-从过程更新数据'!F27)</f>
        <v>0.225700871286816</v>
      </c>
      <c r="G27" s="2">
        <f>MIN(1.2,'[1]_Fig.5撤稿率比值-结果-从过程更新数据'!G27)</f>
        <v>1.2</v>
      </c>
      <c r="H27" s="2">
        <f>MIN(1.2,'[1]_Fig.5撤稿率比值-结果-从过程更新数据'!H27)</f>
        <v>1.2</v>
      </c>
      <c r="I27" s="2">
        <f>MIN(1.2,'[1]_Fig.5撤稿率比值-结果-从过程更新数据'!I27)</f>
        <v>1.2</v>
      </c>
      <c r="J27" s="2">
        <f>MIN(1.2,'[1]_Fig.5撤稿率比值-结果-从过程更新数据'!J27)</f>
        <v>1.2</v>
      </c>
    </row>
    <row r="28" spans="1:10">
      <c r="A28" s="2">
        <v>2022</v>
      </c>
      <c r="B28" s="2">
        <f>MIN(1.2,'[1]_Fig.5撤稿率比值-结果-从过程更新数据'!B28)</f>
        <v>1</v>
      </c>
      <c r="C28" s="2">
        <f>MIN(1.2,'[1]_Fig.5撤稿率比值-结果-从过程更新数据'!C28)</f>
        <v>0.41276154815273</v>
      </c>
      <c r="D28" s="2">
        <f>MIN(1.2,'[1]_Fig.5撤稿率比值-结果-从过程更新数据'!D28)</f>
        <v>1</v>
      </c>
      <c r="E28" s="2">
        <f>MIN(1.2,'[1]_Fig.5撤稿率比值-结果-从过程更新数据'!E28)</f>
        <v>1.2</v>
      </c>
      <c r="F28" s="2">
        <f>MIN(1.2,'[1]_Fig.5撤稿率比值-结果-从过程更新数据'!F28)</f>
        <v>1.01775650534483</v>
      </c>
      <c r="G28" s="2">
        <f>MIN(1.2,'[1]_Fig.5撤稿率比值-结果-从过程更新数据'!G28)</f>
        <v>1.2</v>
      </c>
      <c r="H28" s="2">
        <f>MIN(1.2,'[1]_Fig.5撤稿率比值-结果-从过程更新数据'!H28)</f>
        <v>1.2</v>
      </c>
      <c r="I28" s="2">
        <f>MIN(1.2,'[1]_Fig.5撤稿率比值-结果-从过程更新数据'!I28)</f>
        <v>1.2</v>
      </c>
      <c r="J28" s="2">
        <f>MIN(1.2,'[1]_Fig.5撤稿率比值-结果-从过程更新数据'!J28)</f>
        <v>1.2</v>
      </c>
    </row>
    <row r="29" spans="1:10">
      <c r="A29" s="2">
        <v>2023</v>
      </c>
      <c r="B29" s="2">
        <f>MIN(1.2,'[1]_Fig.5撤稿率比值-结果-从过程更新数据'!B29)</f>
        <v>1</v>
      </c>
      <c r="C29" s="2">
        <f>MIN(1.2,'[1]_Fig.5撤稿率比值-结果-从过程更新数据'!C29)</f>
        <v>0.336246431522173</v>
      </c>
      <c r="D29" s="2">
        <f>MIN(1.2,'[1]_Fig.5撤稿率比值-结果-从过程更新数据'!D29)</f>
        <v>1</v>
      </c>
      <c r="E29" s="2">
        <f>MIN(1.2,'[1]_Fig.5撤稿率比值-结果-从过程更新数据'!E29)</f>
        <v>1.2</v>
      </c>
      <c r="F29" s="2">
        <f>MIN(1.2,'[1]_Fig.5撤稿率比值-结果-从过程更新数据'!F29)</f>
        <v>1.2</v>
      </c>
      <c r="G29" s="2">
        <f>MIN(1.2,'[1]_Fig.5撤稿率比值-结果-从过程更新数据'!G29)</f>
        <v>1.2</v>
      </c>
      <c r="H29" s="2">
        <f>MIN(1.2,'[1]_Fig.5撤稿率比值-结果-从过程更新数据'!H29)</f>
        <v>1.2</v>
      </c>
      <c r="I29" s="2">
        <f>MIN(1.2,'[1]_Fig.5撤稿率比值-结果-从过程更新数据'!I29)</f>
        <v>1.2</v>
      </c>
      <c r="J29" s="2">
        <f>MIN(1.2,'[1]_Fig.5撤稿率比值-结果-从过程更新数据'!J29)</f>
        <v>1.2</v>
      </c>
    </row>
    <row r="30" spans="1:10">
      <c r="A30" s="2">
        <v>2024</v>
      </c>
      <c r="B30" s="2">
        <f>MIN(1.2,'[1]_Fig.5撤稿率比值-结果-从过程更新数据'!B30)</f>
        <v>1</v>
      </c>
      <c r="C30" s="2">
        <f>MIN(1.2,'[1]_Fig.5撤稿率比值-结果-从过程更新数据'!C30)</f>
        <v>0.50974796043821</v>
      </c>
      <c r="D30" s="2">
        <f>MIN(1.2,'[1]_Fig.5撤稿率比值-结果-从过程更新数据'!D30)</f>
        <v>1</v>
      </c>
      <c r="E30" s="2">
        <f>MIN(1.2,'[1]_Fig.5撤稿率比值-结果-从过程更新数据'!E30)</f>
        <v>1.2</v>
      </c>
      <c r="F30" s="2">
        <f>MIN(1.2,'[1]_Fig.5撤稿率比值-结果-从过程更新数据'!F30)</f>
        <v>0.63622900413311</v>
      </c>
      <c r="G30" s="2">
        <f>MIN(1.2,'[1]_Fig.5撤稿率比值-结果-从过程更新数据'!G30)</f>
        <v>1.2</v>
      </c>
      <c r="H30" s="2">
        <f>MIN(1.2,'[1]_Fig.5撤稿率比值-结果-从过程更新数据'!H30)</f>
        <v>1.2</v>
      </c>
      <c r="I30" s="2">
        <f>MIN(1.2,'[1]_Fig.5撤稿率比值-结果-从过程更新数据'!I30)</f>
        <v>1.2</v>
      </c>
      <c r="J30" s="2">
        <f>MIN(1.2,'[1]_Fig.5撤稿率比值-结果-从过程更新数据'!J30)</f>
        <v>1.2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2025-11-01T16:31:39Z</dcterms:created>
  <dcterms:modified xsi:type="dcterms:W3CDTF">2025-11-01T16:31:50Z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DC2449AF76CD7F2B6BC505699F75406D_41</vt:lpwstr>
  </property>
  <property fmtid="{D5CDD505-2E9C-101B-9397-08002B2CF9AE}" pid="3" name="KSOProductBuildVer">
    <vt:lpwstr>2052-12.1.23141.23141</vt:lpwstr>
  </property>
</Properties>
</file>